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acheco\Desktop\paratodo\"/>
    </mc:Choice>
  </mc:AlternateContent>
  <xr:revisionPtr revIDLastSave="0" documentId="13_ncr:1_{3C20539D-80FB-41C7-8FE4-4812D1AC24EF}" xr6:coauthVersionLast="47" xr6:coauthVersionMax="47" xr10:uidLastSave="{00000000-0000-0000-0000-000000000000}"/>
  <bookViews>
    <workbookView xWindow="-120" yWindow="-120" windowWidth="25440" windowHeight="15270" xr2:uid="{48DC2EE4-F884-499E-A4B1-3A3BA7D90FDF}"/>
  </bookViews>
  <sheets>
    <sheet name="scaler_paramet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7" i="1"/>
  <c r="N14" i="1"/>
  <c r="N18" i="1" s="1"/>
  <c r="N19" i="1" s="1"/>
  <c r="C23" i="1"/>
  <c r="D23" i="1"/>
  <c r="B23" i="1"/>
  <c r="B22" i="1" a="1"/>
  <c r="B22" i="1" s="1"/>
  <c r="B20" i="1" a="1"/>
  <c r="F3" i="1"/>
  <c r="G3" i="1" s="1"/>
  <c r="F4" i="1"/>
  <c r="G4" i="1" s="1"/>
  <c r="F5" i="1"/>
  <c r="G5" i="1" s="1"/>
  <c r="F2" i="1"/>
  <c r="G2" i="1" s="1"/>
  <c r="B20" i="1" l="1"/>
  <c r="B21" i="1" s="1"/>
  <c r="C21" i="1"/>
  <c r="D21" i="1"/>
  <c r="E21" i="1"/>
  <c r="H3" i="1"/>
  <c r="I3" i="1"/>
  <c r="J3" i="1"/>
  <c r="K3" i="1"/>
  <c r="H4" i="1"/>
  <c r="I4" i="1"/>
  <c r="J4" i="1"/>
  <c r="K4" i="1"/>
  <c r="H5" i="1"/>
  <c r="I5" i="1"/>
  <c r="J5" i="1"/>
  <c r="K5" i="1"/>
  <c r="H2" i="1"/>
  <c r="I2" i="1"/>
  <c r="I6" i="1" s="1"/>
  <c r="M15" i="1" s="1"/>
  <c r="J2" i="1"/>
  <c r="K2" i="1"/>
  <c r="P15" i="1" l="1"/>
  <c r="O15" i="1"/>
  <c r="H6" i="1"/>
  <c r="M14" i="1" s="1"/>
  <c r="J6" i="1"/>
  <c r="M16" i="1" s="1"/>
  <c r="K6" i="1"/>
  <c r="M17" i="1" s="1"/>
  <c r="P14" i="1" l="1"/>
  <c r="P18" i="1" s="1"/>
  <c r="P19" i="1" s="1"/>
  <c r="O14" i="1"/>
  <c r="O18" i="1" s="1"/>
  <c r="O19" i="1" s="1"/>
  <c r="O16" i="1"/>
  <c r="P16" i="1"/>
  <c r="O17" i="1"/>
  <c r="P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<sst xmlns="http://schemas.openxmlformats.org/spreadsheetml/2006/main" count="33" uniqueCount="24">
  <si>
    <t>Caracteristica</t>
  </si>
  <si>
    <t>Media</t>
  </si>
  <si>
    <t>Desviacion_Estandar</t>
  </si>
  <si>
    <t>bill_length_mm</t>
  </si>
  <si>
    <t>bill_depth_mm</t>
  </si>
  <si>
    <t>flipper_length_mm</t>
  </si>
  <si>
    <t>body_mass_g</t>
  </si>
  <si>
    <t>H1</t>
  </si>
  <si>
    <t>H2</t>
  </si>
  <si>
    <t>H3</t>
  </si>
  <si>
    <t>H4</t>
  </si>
  <si>
    <t>entrada</t>
  </si>
  <si>
    <t>atos escalados</t>
  </si>
  <si>
    <t>Adelie</t>
  </si>
  <si>
    <t>Chinstrap</t>
  </si>
  <si>
    <t>Gentoo</t>
  </si>
  <si>
    <t>sigmoide</t>
  </si>
  <si>
    <t>Sigmoide</t>
  </si>
  <si>
    <t>resultado</t>
  </si>
  <si>
    <t>ESCALADOXOCULTOS</t>
  </si>
  <si>
    <t>APLICA SIGMIDE A RESULTADO</t>
  </si>
  <si>
    <t>MULTIPLICA RESULTADO POR PESOS CAPA SALIDA</t>
  </si>
  <si>
    <t>APLICA SIGMOIDE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</si>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</sst>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1495200</xdr:colOff>
      <xdr:row>20</xdr:row>
      <xdr:rowOff>48840</xdr:rowOff>
    </xdr:from>
    <xdr:to>
      <xdr:col>4</xdr:col>
      <xdr:colOff>666090</xdr:colOff>
      <xdr:row>28</xdr:row>
      <xdr:rowOff>179040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3E74A056-0587-F591-295E-402E1C9658C3}"/>
                </a:ext>
              </a:extLst>
            </xdr14:cNvPr>
            <xdr14:cNvContentPartPr/>
          </xdr14:nvContentPartPr>
          <xdr14:nvPr macro=""/>
          <xdr14:xfrm>
            <a:off x="6600600" y="3858840"/>
            <a:ext cx="2352240" cy="1654200"/>
          </xdr14:xfrm>
        </xdr:contentPart>
      </mc:Choice>
      <mc:Fallback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3E74A056-0587-F591-295E-402E1C9658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94480" y="3852720"/>
              <a:ext cx="2364480" cy="166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295245</xdr:colOff>
      <xdr:row>18</xdr:row>
      <xdr:rowOff>142920</xdr:rowOff>
    </xdr:from>
    <xdr:to>
      <xdr:col>8</xdr:col>
      <xdr:colOff>295605</xdr:colOff>
      <xdr:row>18</xdr:row>
      <xdr:rowOff>143280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35B1D1FE-17F0-B147-1BEA-08FC90644FA4}"/>
                </a:ext>
              </a:extLst>
            </xdr14:cNvPr>
            <xdr14:cNvContentPartPr/>
          </xdr14:nvContentPartPr>
          <xdr14:nvPr macro=""/>
          <xdr14:xfrm>
            <a:off x="11868120" y="3571920"/>
            <a:ext cx="360" cy="360"/>
          </xdr14:xfrm>
        </xdr:contentPart>
      </mc:Choice>
      <mc:Fallback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35B1D1FE-17F0-B147-1BEA-08FC90644FA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862000" y="3565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14:13.6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5160 2007 24575,'-87'-80'0,"-102"-71"0,143 116 0,-924-679-273,217 206-1155,589 410 1412,-3 8-1,-323-123 0,406 185-54,-1 3 0,-1 5 0,-1 3 0,-93-6 0,112 19 39,-1 4 0,0 2 0,1 3 0,0 4 0,-118 29 0,70-4 32,2 5 0,-188 92 0,232-95 0,1 4 0,3 3 0,1 2 0,2 3 0,-68 69 0,107-92 96,1 2-1,1 0 0,1 2 1,1 0-1,2 2 0,1 0 1,-24 59-1,27-47 62,2 0 0,1 0 0,3 1-1,1 0 1,-1 75 0,6 8 58,5-1 1,32 204-1,-23-264-222,4-1-1,2 0 1,3-1 0,2-2-1,4 0 1,62 107-1,-32-86-126,3-2 0,3-2 0,4-4 0,82 72 0,3-16-201,193 128 0,-127-116-599,431 206-1,281 14-1630,725 53 2102,-1167-340 243,51-32-757,-468-44 1012,0-4-1,0-2 0,0-4 0,-1-2 0,88-28 1,-128 30 54,-1-1 1,0-1 0,0-1-1,-2-2 1,0-1 0,0-1-1,26-22 1,-39 26 16,-1 1 1,0-2-1,-1 0 1,0 0-1,-1-1 1,-1 0-1,-1-1 1,0 0-1,-1-1 1,0 0-1,-2 0 1,0-1-1,4-21 1,-4 7 161,-2 0-1,-2 0 1,-1 0 0,-1 0-1,-2 0 1,-1 0 0,-2 0-1,-9-37 1,-6-1-259,-3 0 0,-48-103 0,15 62 108,-4 2-1,-122-166 1,-182-165-274,-15 38-1129,-85-25 266,-7 25-2474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14:20.4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6952-B8F9-49E1-8797-C0B80ECDFF03}">
  <dimension ref="A1:P28"/>
  <sheetViews>
    <sheetView tabSelected="1" workbookViewId="0">
      <selection activeCell="B23" sqref="B23"/>
    </sheetView>
  </sheetViews>
  <sheetFormatPr baseColWidth="10" defaultRowHeight="15" x14ac:dyDescent="0.25"/>
  <cols>
    <col min="1" max="1" width="52.7109375" customWidth="1"/>
    <col min="2" max="4" width="23.85546875" bestFit="1" customWidth="1"/>
    <col min="7" max="7" width="14.42578125" bestFit="1" customWidth="1"/>
    <col min="8" max="8" width="12" bestFit="1" customWidth="1"/>
    <col min="14" max="14" width="12" bestFit="1" customWidth="1"/>
    <col min="15" max="16" width="1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E1" s="4" t="s">
        <v>11</v>
      </c>
      <c r="G1" s="5" t="s">
        <v>12</v>
      </c>
    </row>
    <row r="2" spans="1:16" x14ac:dyDescent="0.25">
      <c r="A2" t="s">
        <v>3</v>
      </c>
      <c r="B2">
        <v>43.992792792792798</v>
      </c>
      <c r="C2">
        <v>5.4604509550714599</v>
      </c>
      <c r="E2" s="4">
        <v>50.5</v>
      </c>
      <c r="F2">
        <f>+E2-B2</f>
        <v>6.5072072072072018</v>
      </c>
      <c r="G2" s="2">
        <f>+F2/C2</f>
        <v>1.1916977664937278</v>
      </c>
      <c r="H2" s="1">
        <f>+G2*B10</f>
        <v>-13.93044844915527</v>
      </c>
      <c r="I2" s="1">
        <f>+G2*C10</f>
        <v>1.2407471712990683</v>
      </c>
      <c r="J2" s="1">
        <f>+G2*D10</f>
        <v>1.4105462735080649</v>
      </c>
      <c r="K2" s="1">
        <f>+G2*E10</f>
        <v>-14.327443105491511</v>
      </c>
    </row>
    <row r="3" spans="1:16" x14ac:dyDescent="0.25">
      <c r="A3" t="s">
        <v>4</v>
      </c>
      <c r="B3">
        <v>17.1648648648648</v>
      </c>
      <c r="C3">
        <v>1.9662764301482401</v>
      </c>
      <c r="E3" s="4">
        <v>15.2</v>
      </c>
      <c r="F3">
        <f t="shared" ref="F3:F5" si="0">+E3-B3</f>
        <v>-1.9648648648648006</v>
      </c>
      <c r="G3" s="2">
        <f t="shared" ref="G3:G5" si="1">+F3/C3</f>
        <v>-0.99928211249354548</v>
      </c>
      <c r="H3" s="1">
        <f t="shared" ref="H3:H5" si="2">+G3*B11</f>
        <v>-5.6607390870084373</v>
      </c>
      <c r="I3" s="1">
        <f t="shared" ref="I3:I5" si="3">+G3*C11</f>
        <v>4.5317249669697865</v>
      </c>
      <c r="J3" s="1">
        <f t="shared" ref="J3:J5" si="4">+G3*D11</f>
        <v>-1.1200393888395959</v>
      </c>
      <c r="K3" s="1">
        <f t="shared" ref="K3:K5" si="5">+G3*E11</f>
        <v>-5.8519413978316166</v>
      </c>
    </row>
    <row r="4" spans="1:16" x14ac:dyDescent="0.25">
      <c r="A4" t="s">
        <v>5</v>
      </c>
      <c r="B4">
        <v>200.966966966966</v>
      </c>
      <c r="C4">
        <v>13.9947047725767</v>
      </c>
      <c r="E4" s="4">
        <v>215</v>
      </c>
      <c r="F4">
        <f t="shared" si="0"/>
        <v>14.033033033034002</v>
      </c>
      <c r="G4" s="2">
        <f t="shared" si="1"/>
        <v>1.0027387687757736</v>
      </c>
      <c r="H4" s="1">
        <f t="shared" si="2"/>
        <v>1.1831833338517075</v>
      </c>
      <c r="I4" s="1">
        <f t="shared" si="3"/>
        <v>1.1164524482642828</v>
      </c>
      <c r="J4" s="1">
        <f t="shared" si="4"/>
        <v>-1.652364030619788</v>
      </c>
      <c r="K4" s="1">
        <f t="shared" si="5"/>
        <v>1.1663404279991696</v>
      </c>
    </row>
    <row r="5" spans="1:16" x14ac:dyDescent="0.25">
      <c r="A5" t="s">
        <v>6</v>
      </c>
      <c r="B5">
        <v>4207.0570570570499</v>
      </c>
      <c r="C5">
        <v>804.00586015956196</v>
      </c>
      <c r="E5" s="4">
        <v>5200</v>
      </c>
      <c r="F5">
        <f t="shared" si="0"/>
        <v>992.94294294295014</v>
      </c>
      <c r="G5" s="2">
        <f t="shared" si="1"/>
        <v>1.2349946588024769</v>
      </c>
      <c r="H5" s="1">
        <f t="shared" si="2"/>
        <v>5.0875450152624406</v>
      </c>
      <c r="I5" s="1">
        <f t="shared" si="3"/>
        <v>2.2431209507415226</v>
      </c>
      <c r="J5" s="1">
        <f t="shared" si="4"/>
        <v>-2.3747979514502449</v>
      </c>
      <c r="K5" s="1">
        <f t="shared" si="5"/>
        <v>5.2964575462253078</v>
      </c>
    </row>
    <row r="6" spans="1:16" x14ac:dyDescent="0.25">
      <c r="H6" s="3">
        <f>SUM(H2:H5)</f>
        <v>-13.320459187049559</v>
      </c>
      <c r="I6" s="3">
        <f t="shared" ref="I6:K6" si="6">SUM(I2:I5)</f>
        <v>9.1320455372746601</v>
      </c>
      <c r="J6" s="3">
        <f t="shared" si="6"/>
        <v>-3.736655097401564</v>
      </c>
      <c r="K6" s="3">
        <f t="shared" si="6"/>
        <v>-13.716586529098649</v>
      </c>
    </row>
    <row r="9" spans="1:16" x14ac:dyDescent="0.25">
      <c r="B9" t="s">
        <v>7</v>
      </c>
      <c r="C9" t="s">
        <v>8</v>
      </c>
      <c r="D9" t="s">
        <v>9</v>
      </c>
      <c r="E9" t="s">
        <v>10</v>
      </c>
    </row>
    <row r="10" spans="1:16" x14ac:dyDescent="0.25">
      <c r="A10" t="s">
        <v>3</v>
      </c>
      <c r="B10">
        <v>-11.689581738616599</v>
      </c>
      <c r="C10">
        <v>1.0411592655322801</v>
      </c>
      <c r="D10">
        <v>1.18364430409083</v>
      </c>
      <c r="E10">
        <v>-12.022715413528401</v>
      </c>
    </row>
    <row r="11" spans="1:16" x14ac:dyDescent="0.25">
      <c r="A11" t="s">
        <v>4</v>
      </c>
      <c r="B11">
        <v>5.6648057803046097</v>
      </c>
      <c r="C11">
        <v>-4.5349805728650603</v>
      </c>
      <c r="D11">
        <v>1.12084402876453</v>
      </c>
      <c r="E11">
        <v>5.8561454514872198</v>
      </c>
    </row>
    <row r="12" spans="1:16" x14ac:dyDescent="0.25">
      <c r="A12" t="s">
        <v>5</v>
      </c>
      <c r="B12">
        <v>1.1799517189269899</v>
      </c>
      <c r="C12">
        <v>1.11340309463385</v>
      </c>
      <c r="D12">
        <v>-1.6478509478965599</v>
      </c>
      <c r="E12">
        <v>1.1631548159079701</v>
      </c>
    </row>
    <row r="13" spans="1:16" x14ac:dyDescent="0.25">
      <c r="A13" t="s">
        <v>6</v>
      </c>
      <c r="B13">
        <v>4.1194874641770696</v>
      </c>
      <c r="C13">
        <v>1.81630012304392</v>
      </c>
      <c r="D13">
        <v>-1.9229216373720901</v>
      </c>
      <c r="E13">
        <v>4.2886481398721701</v>
      </c>
      <c r="I13" t="s">
        <v>13</v>
      </c>
      <c r="J13" t="s">
        <v>14</v>
      </c>
      <c r="K13" t="s">
        <v>15</v>
      </c>
      <c r="M13" s="6" t="s">
        <v>16</v>
      </c>
    </row>
    <row r="14" spans="1:16" x14ac:dyDescent="0.25">
      <c r="H14" t="s">
        <v>7</v>
      </c>
      <c r="I14">
        <v>6.2498073454762899</v>
      </c>
      <c r="J14">
        <v>-8.8027658224363599</v>
      </c>
      <c r="K14">
        <v>-0.86372910719628204</v>
      </c>
      <c r="M14" s="6">
        <f xml:space="preserve"> 1 / (1 + EXP(-H6))</f>
        <v>1.6405798236102495E-6</v>
      </c>
      <c r="N14" s="7">
        <f>+M14*I14</f>
        <v>1.0253307832439533E-5</v>
      </c>
      <c r="O14" s="7">
        <f>+M14*J14</f>
        <v>-1.4441640000254976E-5</v>
      </c>
      <c r="P14" s="7">
        <f>+M14*K14</f>
        <v>-1.4170165463311147E-6</v>
      </c>
    </row>
    <row r="15" spans="1:16" x14ac:dyDescent="0.25">
      <c r="B15" s="2">
        <v>1.1916977664937278</v>
      </c>
      <c r="C15" s="2">
        <v>1.1916977664937278</v>
      </c>
      <c r="D15" s="2">
        <v>-0.99928211249354548</v>
      </c>
      <c r="E15" s="2">
        <v>1.0027387687757736</v>
      </c>
      <c r="F15" s="2">
        <v>1.2349946588024769</v>
      </c>
      <c r="H15" t="s">
        <v>8</v>
      </c>
      <c r="I15">
        <v>-16.1604320115101</v>
      </c>
      <c r="J15">
        <v>-5.8360575792976901</v>
      </c>
      <c r="K15">
        <v>6.5679499059491899</v>
      </c>
      <c r="M15" s="6">
        <f xml:space="preserve"> 1 / (1 + EXP(-I6))</f>
        <v>0.99989186754807746</v>
      </c>
      <c r="N15" s="7">
        <f t="shared" ref="N15:N17" si="7">+M15*I15</f>
        <v>-16.158684544372569</v>
      </c>
      <c r="O15" s="7">
        <f t="shared" ref="O15:O17" si="8">+M15*J15</f>
        <v>-5.8354265120820799</v>
      </c>
      <c r="P15" s="7">
        <f t="shared" ref="P15:P17" si="9">+M15*K15</f>
        <v>6.5672396974217548</v>
      </c>
    </row>
    <row r="16" spans="1:16" x14ac:dyDescent="0.25">
      <c r="B16" s="2">
        <v>-0.99928211249354548</v>
      </c>
      <c r="H16" t="s">
        <v>9</v>
      </c>
      <c r="I16">
        <v>-6.0891603548405797</v>
      </c>
      <c r="J16">
        <v>8.2142107606913708</v>
      </c>
      <c r="K16">
        <v>-8.2081475329965201</v>
      </c>
      <c r="M16" s="6">
        <f xml:space="preserve"> 1 / (1 + EXP(-J6))</f>
        <v>2.3278869925548274E-2</v>
      </c>
      <c r="N16" s="7">
        <f t="shared" si="7"/>
        <v>-0.14174877185613924</v>
      </c>
      <c r="O16" s="7">
        <f t="shared" si="8"/>
        <v>0.19121754383917336</v>
      </c>
      <c r="P16" s="7">
        <f t="shared" si="9"/>
        <v>-0.19107639875033594</v>
      </c>
    </row>
    <row r="17" spans="1:16" x14ac:dyDescent="0.25">
      <c r="B17" s="2">
        <v>1.0027387687757736</v>
      </c>
      <c r="H17" t="s">
        <v>10</v>
      </c>
      <c r="I17">
        <v>6.9645336175318304</v>
      </c>
      <c r="J17">
        <v>-8.2113123102585401</v>
      </c>
      <c r="K17">
        <v>-2.18441304842991</v>
      </c>
      <c r="M17" s="6">
        <f xml:space="preserve"> 1 / (1 + EXP(-K6))</f>
        <v>1.1039812067998701E-6</v>
      </c>
      <c r="N17" s="7">
        <f t="shared" si="7"/>
        <v>7.6887142278810547E-6</v>
      </c>
      <c r="O17" s="7">
        <f t="shared" si="8"/>
        <v>-9.0651344736898523E-6</v>
      </c>
      <c r="P17" s="7">
        <f t="shared" si="9"/>
        <v>-2.4115509533550353E-6</v>
      </c>
    </row>
    <row r="18" spans="1:16" x14ac:dyDescent="0.25">
      <c r="B18" s="2">
        <v>1.2349946588024769</v>
      </c>
      <c r="N18" s="8">
        <f>SUM(N14:N17)</f>
        <v>-16.300415374206651</v>
      </c>
      <c r="O18" s="8">
        <f>SUM(O14:O17)</f>
        <v>-5.6442324750173798</v>
      </c>
      <c r="P18" s="8">
        <f>SUM(P14:P17)</f>
        <v>6.3761594701039188</v>
      </c>
    </row>
    <row r="19" spans="1:16" x14ac:dyDescent="0.25">
      <c r="M19" s="9" t="s">
        <v>17</v>
      </c>
      <c r="N19" s="1">
        <f xml:space="preserve"> 1 / (1 + EXP(-N18))</f>
        <v>8.3333479184472724E-8</v>
      </c>
      <c r="O19" s="1">
        <f t="shared" ref="O19:P19" si="10" xml:space="preserve"> 1 / (1 + EXP(-O18))</f>
        <v>3.5253904099331744E-3</v>
      </c>
      <c r="P19" s="1">
        <f t="shared" si="10"/>
        <v>0.99830124503470052</v>
      </c>
    </row>
    <row r="20" spans="1:16" x14ac:dyDescent="0.25">
      <c r="A20" t="s">
        <v>19</v>
      </c>
      <c r="B20" cm="1">
        <f t="array" ref="B20:E20">MMULT(C15:F15,B10:E13)</f>
        <v>-13.320459187049559</v>
      </c>
      <c r="C20">
        <v>9.1320455372746601</v>
      </c>
      <c r="D20">
        <v>-3.736655097401564</v>
      </c>
      <c r="E20">
        <v>-13.716586529098649</v>
      </c>
      <c r="O20" t="s">
        <v>18</v>
      </c>
      <c r="P20" t="s">
        <v>15</v>
      </c>
    </row>
    <row r="21" spans="1:16" x14ac:dyDescent="0.25">
      <c r="A21" t="s">
        <v>20</v>
      </c>
      <c r="B21" s="6">
        <f xml:space="preserve"> 1 / (1 + EXP(-B20))</f>
        <v>1.6405798236102495E-6</v>
      </c>
      <c r="C21" s="6">
        <f t="shared" ref="C21:E21" si="11" xml:space="preserve"> 1 / (1 + EXP(-C20))</f>
        <v>0.99989186754807746</v>
      </c>
      <c r="D21" s="6">
        <f t="shared" si="11"/>
        <v>2.3278869925548274E-2</v>
      </c>
      <c r="E21" s="6">
        <f t="shared" si="11"/>
        <v>1.1039812067998701E-6</v>
      </c>
    </row>
    <row r="22" spans="1:16" x14ac:dyDescent="0.25">
      <c r="A22" t="s">
        <v>21</v>
      </c>
      <c r="B22" cm="1">
        <f t="array" ref="B22:D22">MMULT(B21:E21,I14:K17)</f>
        <v>-16.300415374206651</v>
      </c>
      <c r="C22">
        <v>-5.6442324750173798</v>
      </c>
      <c r="D22">
        <v>6.3761594701039188</v>
      </c>
    </row>
    <row r="23" spans="1:16" x14ac:dyDescent="0.25">
      <c r="A23" t="s">
        <v>22</v>
      </c>
      <c r="B23" s="10">
        <f xml:space="preserve"> 1 / (1 + EXP(-B22))</f>
        <v>8.3333479184472724E-8</v>
      </c>
      <c r="C23" s="10">
        <f t="shared" ref="C23:D23" si="12" xml:space="preserve"> 1 / (1 + EXP(-C22))</f>
        <v>3.5253904099331744E-3</v>
      </c>
      <c r="D23" s="10">
        <f t="shared" si="12"/>
        <v>0.99830124503470052</v>
      </c>
    </row>
    <row r="24" spans="1:16" x14ac:dyDescent="0.25">
      <c r="D24" t="s">
        <v>23</v>
      </c>
    </row>
    <row r="25" spans="1:16" x14ac:dyDescent="0.25">
      <c r="B25">
        <v>1.6405798236102495E-6</v>
      </c>
    </row>
    <row r="26" spans="1:16" x14ac:dyDescent="0.25">
      <c r="B26">
        <v>0.99989186754807746</v>
      </c>
    </row>
    <row r="27" spans="1:16" x14ac:dyDescent="0.25">
      <c r="B27">
        <v>2.3278869925548274E-2</v>
      </c>
    </row>
    <row r="28" spans="1:16" x14ac:dyDescent="0.25">
      <c r="B28">
        <v>1.1039812067998701E-6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scaler_parametros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mpacheco</dc:creator>
  <cp:lastModifiedBy>Manuel Alvaro Pacheco Hoyo</cp:lastModifiedBy>
  <dcterms:created xsi:type="dcterms:W3CDTF">2026-05-08T21:41:32Z</dcterms:created>
  <dcterms:modified xsi:type="dcterms:W3CDTF">2026-05-08T22:23:34Z</dcterms:modified>
</cp:coreProperties>
</file>